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iel\Downloads\FORMATION\QGIS\PRATIQUE\MISSION 3 ZOU\01_donnees_brutes\"/>
    </mc:Choice>
  </mc:AlternateContent>
  <xr:revisionPtr revIDLastSave="0" documentId="13_ncr:1_{D454F255-E555-4B22-9D97-23DA80C0CBD7}" xr6:coauthVersionLast="47" xr6:coauthVersionMax="47" xr10:uidLastSave="{00000000-0000-0000-0000-000000000000}"/>
  <bookViews>
    <workbookView xWindow="-110" yWindow="-110" windowWidth="19420" windowHeight="10300" xr2:uid="{03C17A8B-0AD5-4C40-9D1B-BCE89C3A479A}"/>
  </bookViews>
  <sheets>
    <sheet name="ben_admpop_2024(ben_admpop_adm2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2" i="2"/>
  <c r="F5" i="2"/>
  <c r="F7" i="2"/>
  <c r="F2" i="2"/>
  <c r="F10" i="2"/>
  <c r="F4" i="2"/>
  <c r="F8" i="2"/>
  <c r="F3" i="2"/>
  <c r="F9" i="2"/>
  <c r="F6" i="2"/>
</calcChain>
</file>

<file path=xl/sharedStrings.xml><?xml version="1.0" encoding="utf-8"?>
<sst xmlns="http://schemas.openxmlformats.org/spreadsheetml/2006/main" count="64" uniqueCount="41">
  <si>
    <t>ADM2_FR</t>
  </si>
  <si>
    <t>ADM2_PCODE</t>
  </si>
  <si>
    <t>Abomey</t>
  </si>
  <si>
    <t>BJ1201</t>
  </si>
  <si>
    <t>Agbangnizoun</t>
  </si>
  <si>
    <t>BJ1202</t>
  </si>
  <si>
    <t>Bohicon</t>
  </si>
  <si>
    <t>BJ1203</t>
  </si>
  <si>
    <t>Cove</t>
  </si>
  <si>
    <t>BJ1204</t>
  </si>
  <si>
    <t>Djidja</t>
  </si>
  <si>
    <t>BJ1205</t>
  </si>
  <si>
    <t>Ouinhi</t>
  </si>
  <si>
    <t>BJ1206</t>
  </si>
  <si>
    <t>Za-Kpota</t>
  </si>
  <si>
    <t>BJ1207</t>
  </si>
  <si>
    <t>Zagnanado</t>
  </si>
  <si>
    <t>BJ1208</t>
  </si>
  <si>
    <t>Zogbodomey</t>
  </si>
  <si>
    <t>BJ1209</t>
  </si>
  <si>
    <t>Commune (ADM2_FR)</t>
  </si>
  <si>
    <t>Code Commune (ADM2_PCODE)</t>
  </si>
  <si>
    <t xml:space="preserve">Population Féminine (F_TL) </t>
  </si>
  <si>
    <t xml:space="preserve">Population Masculine (M_TL) </t>
  </si>
  <si>
    <t xml:space="preserve">Population Total (T_TL) </t>
  </si>
  <si>
    <t>Ecart par rapport a la moyenne</t>
  </si>
  <si>
    <t>Part de la population du Zou (%)</t>
  </si>
  <si>
    <t>Tendence demographique</t>
  </si>
  <si>
    <t>Pôles majeurs / au-dessus de la moyenne</t>
  </si>
  <si>
    <t>intermédiaires / proches de la moyenne</t>
  </si>
  <si>
    <t>sous la moyenne / rurales à plus faible poids</t>
  </si>
  <si>
    <t>Covè</t>
  </si>
  <si>
    <t>T_TL</t>
  </si>
  <si>
    <t>F_TL</t>
  </si>
  <si>
    <t>M_TL</t>
  </si>
  <si>
    <t>F_05_09</t>
  </si>
  <si>
    <t>F_10_14</t>
  </si>
  <si>
    <t>M_05_09</t>
  </si>
  <si>
    <t>M_10_14</t>
  </si>
  <si>
    <t>T_05_09</t>
  </si>
  <si>
    <t>T_10_14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</si>
</sst>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42" applyNumberFormat="1" applyFont="1" applyAlignment="1">
      <alignment vertical="center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8276-465B-4DBD-A215-953490781EA0}">
  <dimension ref="A1:K10"/>
  <sheetViews>
    <sheetView tabSelected="1" workbookViewId="0">
      <selection activeCell="F1" sqref="C1:K1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33</v>
      </c>
      <c r="D1" t="s">
        <v>34</v>
      </c>
      <c r="E1" t="s">
        <v>32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35">
      <c r="A2" t="s">
        <v>2</v>
      </c>
      <c r="B2" t="s">
        <v>3</v>
      </c>
      <c r="C2" s="1">
        <v>55118</v>
      </c>
      <c r="D2" s="1">
        <v>49900</v>
      </c>
      <c r="E2" s="1">
        <v>105018</v>
      </c>
      <c r="F2" s="1">
        <v>6826</v>
      </c>
      <c r="G2" s="1">
        <v>7030</v>
      </c>
      <c r="H2" s="1">
        <v>6889</v>
      </c>
      <c r="I2" s="1">
        <v>6574</v>
      </c>
      <c r="J2" s="1">
        <v>13715</v>
      </c>
      <c r="K2" s="1">
        <v>13604</v>
      </c>
    </row>
    <row r="3" spans="1:11" x14ac:dyDescent="0.35">
      <c r="A3" t="s">
        <v>4</v>
      </c>
      <c r="B3" t="s">
        <v>5</v>
      </c>
      <c r="C3" s="1">
        <v>47797</v>
      </c>
      <c r="D3" s="1">
        <v>44531</v>
      </c>
      <c r="E3" s="1">
        <v>92328</v>
      </c>
      <c r="F3" s="1">
        <v>6449</v>
      </c>
      <c r="G3" s="1">
        <v>6108</v>
      </c>
      <c r="H3" s="1">
        <v>6559</v>
      </c>
      <c r="I3" s="1">
        <v>6222</v>
      </c>
      <c r="J3" s="1">
        <v>13008</v>
      </c>
      <c r="K3" s="1">
        <v>12330</v>
      </c>
    </row>
    <row r="4" spans="1:11" x14ac:dyDescent="0.35">
      <c r="A4" t="s">
        <v>6</v>
      </c>
      <c r="B4" t="s">
        <v>7</v>
      </c>
      <c r="C4" s="1">
        <v>130954</v>
      </c>
      <c r="D4" s="1">
        <v>120183</v>
      </c>
      <c r="E4" s="1">
        <v>251137</v>
      </c>
      <c r="F4" s="1">
        <v>17072</v>
      </c>
      <c r="G4" s="1">
        <v>16663</v>
      </c>
      <c r="H4" s="1">
        <v>16397</v>
      </c>
      <c r="I4" s="1">
        <v>15382</v>
      </c>
      <c r="J4" s="1">
        <v>33469</v>
      </c>
      <c r="K4" s="1">
        <v>32045</v>
      </c>
    </row>
    <row r="5" spans="1:11" x14ac:dyDescent="0.35">
      <c r="A5" t="s">
        <v>31</v>
      </c>
      <c r="B5" t="s">
        <v>9</v>
      </c>
      <c r="C5" s="1">
        <v>38045</v>
      </c>
      <c r="D5" s="1">
        <v>35369</v>
      </c>
      <c r="E5" s="1">
        <v>73414</v>
      </c>
      <c r="F5" s="1">
        <v>4853</v>
      </c>
      <c r="G5" s="1">
        <v>4429</v>
      </c>
      <c r="H5" s="1">
        <v>5049</v>
      </c>
      <c r="I5" s="1">
        <v>4566</v>
      </c>
      <c r="J5" s="1">
        <v>9902</v>
      </c>
      <c r="K5" s="1">
        <v>8995</v>
      </c>
    </row>
    <row r="6" spans="1:11" x14ac:dyDescent="0.35">
      <c r="A6" t="s">
        <v>10</v>
      </c>
      <c r="B6" t="s">
        <v>11</v>
      </c>
      <c r="C6" s="1">
        <v>89112</v>
      </c>
      <c r="D6" s="1">
        <v>84668</v>
      </c>
      <c r="E6" s="1">
        <v>173780</v>
      </c>
      <c r="F6" s="1">
        <v>14029</v>
      </c>
      <c r="G6" s="1">
        <v>12186</v>
      </c>
      <c r="H6" s="1">
        <v>14070</v>
      </c>
      <c r="I6" s="1">
        <v>12701</v>
      </c>
      <c r="J6" s="1">
        <v>28099</v>
      </c>
      <c r="K6" s="1">
        <v>24887</v>
      </c>
    </row>
    <row r="7" spans="1:11" x14ac:dyDescent="0.35">
      <c r="A7" t="s">
        <v>12</v>
      </c>
      <c r="B7" t="s">
        <v>13</v>
      </c>
      <c r="C7" s="1">
        <v>44996</v>
      </c>
      <c r="D7" s="1">
        <v>43546</v>
      </c>
      <c r="E7" s="1">
        <v>88542</v>
      </c>
      <c r="F7" s="1">
        <v>6502</v>
      </c>
      <c r="G7" s="1">
        <v>5473</v>
      </c>
      <c r="H7" s="1">
        <v>6799</v>
      </c>
      <c r="I7" s="1">
        <v>5956</v>
      </c>
      <c r="J7" s="1">
        <v>13301</v>
      </c>
      <c r="K7" s="1">
        <v>11429</v>
      </c>
    </row>
    <row r="8" spans="1:11" x14ac:dyDescent="0.35">
      <c r="A8" t="s">
        <v>14</v>
      </c>
      <c r="B8" t="s">
        <v>15</v>
      </c>
      <c r="C8" s="1">
        <v>103503</v>
      </c>
      <c r="D8" s="1">
        <v>91468</v>
      </c>
      <c r="E8" s="1">
        <v>194971</v>
      </c>
      <c r="F8" s="1">
        <v>15978</v>
      </c>
      <c r="G8" s="1">
        <v>14152</v>
      </c>
      <c r="H8" s="1">
        <v>15722</v>
      </c>
      <c r="I8" s="1">
        <v>13758</v>
      </c>
      <c r="J8" s="1">
        <v>31700</v>
      </c>
      <c r="K8" s="1">
        <v>27910</v>
      </c>
    </row>
    <row r="9" spans="1:11" x14ac:dyDescent="0.35">
      <c r="A9" t="s">
        <v>16</v>
      </c>
      <c r="B9" t="s">
        <v>17</v>
      </c>
      <c r="C9" s="1">
        <v>40515</v>
      </c>
      <c r="D9" s="1">
        <v>38887</v>
      </c>
      <c r="E9" s="1">
        <v>79402</v>
      </c>
      <c r="F9" s="1">
        <v>5921</v>
      </c>
      <c r="G9" s="1">
        <v>5228</v>
      </c>
      <c r="H9" s="1">
        <v>5826</v>
      </c>
      <c r="I9" s="1">
        <v>5598</v>
      </c>
      <c r="J9" s="1">
        <v>11747</v>
      </c>
      <c r="K9" s="1">
        <v>10826</v>
      </c>
    </row>
    <row r="10" spans="1:11" x14ac:dyDescent="0.35">
      <c r="A10" t="s">
        <v>18</v>
      </c>
      <c r="B10" t="s">
        <v>19</v>
      </c>
      <c r="C10" s="1">
        <v>58704</v>
      </c>
      <c r="D10" s="1">
        <v>56536</v>
      </c>
      <c r="E10" s="1">
        <v>115240</v>
      </c>
      <c r="F10" s="1">
        <v>8805</v>
      </c>
      <c r="G10" s="1">
        <v>7190</v>
      </c>
      <c r="H10" s="1">
        <v>8877</v>
      </c>
      <c r="I10" s="1">
        <v>7953</v>
      </c>
      <c r="J10" s="1">
        <v>17682</v>
      </c>
      <c r="K10" s="1">
        <v>15143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26EB-10BC-4F92-859A-35CC51C2D8A9}">
  <dimension ref="A1:H10"/>
  <sheetViews>
    <sheetView workbookViewId="0">
      <selection activeCell="J14" sqref="J14"/>
    </sheetView>
  </sheetViews>
  <sheetFormatPr baseColWidth="10" defaultRowHeight="14.5" x14ac:dyDescent="0.35"/>
  <cols>
    <col min="1" max="1" width="12.90625" style="4" bestFit="1" customWidth="1"/>
    <col min="2" max="2" width="16.1796875" style="4" bestFit="1" customWidth="1"/>
    <col min="3" max="3" width="16.6328125" style="4" bestFit="1" customWidth="1"/>
    <col min="4" max="4" width="18.08984375" style="4" bestFit="1" customWidth="1"/>
    <col min="5" max="5" width="17.26953125" style="4" bestFit="1" customWidth="1"/>
    <col min="6" max="6" width="12.08984375" style="4" bestFit="1" customWidth="1"/>
    <col min="7" max="7" width="11.7265625" style="4" bestFit="1" customWidth="1"/>
    <col min="8" max="8" width="22.36328125" style="4" customWidth="1"/>
    <col min="9" max="16384" width="10.90625" style="4"/>
  </cols>
  <sheetData>
    <row r="1" spans="1:8" ht="42.5" thickBot="1" x14ac:dyDescent="0.4">
      <c r="A1" s="2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ht="29" x14ac:dyDescent="0.35">
      <c r="A2" s="4" t="s">
        <v>6</v>
      </c>
      <c r="B2" s="4" t="s">
        <v>7</v>
      </c>
      <c r="C2" s="5">
        <v>130954</v>
      </c>
      <c r="D2" s="5">
        <v>120183</v>
      </c>
      <c r="E2" s="5">
        <v>251137</v>
      </c>
      <c r="F2" s="5">
        <f t="shared" ref="F2:F10" si="0">E2-AVERAGE($E$2:$E$10)</f>
        <v>120711.22222222222</v>
      </c>
      <c r="G2" s="6">
        <f>+E2/SUM($E$2:$E$10)</f>
        <v>0.21394628873637794</v>
      </c>
      <c r="H2" s="4" t="s">
        <v>28</v>
      </c>
    </row>
    <row r="3" spans="1:8" ht="29" x14ac:dyDescent="0.35">
      <c r="A3" s="4" t="s">
        <v>14</v>
      </c>
      <c r="B3" s="4" t="s">
        <v>15</v>
      </c>
      <c r="C3" s="5">
        <v>103503</v>
      </c>
      <c r="D3" s="5">
        <v>91468</v>
      </c>
      <c r="E3" s="5">
        <v>194971</v>
      </c>
      <c r="F3" s="5">
        <f t="shared" si="0"/>
        <v>64545.222222222219</v>
      </c>
      <c r="G3" s="6">
        <f t="shared" ref="G3:G10" si="1">+E3/SUM($E$2:$E$10)</f>
        <v>0.16609787431250808</v>
      </c>
      <c r="H3" s="4" t="s">
        <v>28</v>
      </c>
    </row>
    <row r="4" spans="1:8" ht="29" x14ac:dyDescent="0.35">
      <c r="A4" s="4" t="s">
        <v>10</v>
      </c>
      <c r="B4" s="4" t="s">
        <v>11</v>
      </c>
      <c r="C4" s="5">
        <v>89112</v>
      </c>
      <c r="D4" s="5">
        <v>84668</v>
      </c>
      <c r="E4" s="5">
        <v>173780</v>
      </c>
      <c r="F4" s="5">
        <f t="shared" si="0"/>
        <v>43354.222222222219</v>
      </c>
      <c r="G4" s="6">
        <f t="shared" si="1"/>
        <v>0.14804503540540725</v>
      </c>
      <c r="H4" s="4" t="s">
        <v>28</v>
      </c>
    </row>
    <row r="5" spans="1:8" ht="29" x14ac:dyDescent="0.35">
      <c r="A5" s="4" t="s">
        <v>18</v>
      </c>
      <c r="B5" s="4" t="s">
        <v>19</v>
      </c>
      <c r="C5" s="5">
        <v>58704</v>
      </c>
      <c r="D5" s="5">
        <v>56536</v>
      </c>
      <c r="E5" s="5">
        <v>115240</v>
      </c>
      <c r="F5" s="5">
        <f t="shared" si="0"/>
        <v>-15185.777777777781</v>
      </c>
      <c r="G5" s="6">
        <f t="shared" si="1"/>
        <v>9.8174185062257627E-2</v>
      </c>
      <c r="H5" s="4" t="s">
        <v>29</v>
      </c>
    </row>
    <row r="6" spans="1:8" ht="29" x14ac:dyDescent="0.35">
      <c r="A6" s="4" t="s">
        <v>2</v>
      </c>
      <c r="B6" s="4" t="s">
        <v>3</v>
      </c>
      <c r="C6" s="5">
        <v>55118</v>
      </c>
      <c r="D6" s="5">
        <v>49900</v>
      </c>
      <c r="E6" s="5">
        <v>105018</v>
      </c>
      <c r="F6" s="5">
        <f t="shared" si="0"/>
        <v>-25407.777777777781</v>
      </c>
      <c r="G6" s="6">
        <f t="shared" si="1"/>
        <v>8.946595424217435E-2</v>
      </c>
      <c r="H6" s="4" t="s">
        <v>29</v>
      </c>
    </row>
    <row r="7" spans="1:8" ht="29" x14ac:dyDescent="0.35">
      <c r="A7" s="4" t="s">
        <v>4</v>
      </c>
      <c r="B7" s="4" t="s">
        <v>5</v>
      </c>
      <c r="C7" s="5">
        <v>47797</v>
      </c>
      <c r="D7" s="5">
        <v>44531</v>
      </c>
      <c r="E7" s="5">
        <v>92328</v>
      </c>
      <c r="F7" s="5">
        <f t="shared" si="0"/>
        <v>-38097.777777777781</v>
      </c>
      <c r="G7" s="6">
        <f t="shared" si="1"/>
        <v>7.8655207900278745E-2</v>
      </c>
      <c r="H7" s="4" t="s">
        <v>30</v>
      </c>
    </row>
    <row r="8" spans="1:8" ht="29" x14ac:dyDescent="0.35">
      <c r="A8" s="4" t="s">
        <v>12</v>
      </c>
      <c r="B8" s="4" t="s">
        <v>13</v>
      </c>
      <c r="C8" s="5">
        <v>44996</v>
      </c>
      <c r="D8" s="5">
        <v>43546</v>
      </c>
      <c r="E8" s="5">
        <v>88542</v>
      </c>
      <c r="F8" s="5">
        <f t="shared" si="0"/>
        <v>-41883.777777777781</v>
      </c>
      <c r="G8" s="6">
        <f t="shared" si="1"/>
        <v>7.5429874121680104E-2</v>
      </c>
      <c r="H8" s="4" t="s">
        <v>30</v>
      </c>
    </row>
    <row r="9" spans="1:8" ht="29" x14ac:dyDescent="0.35">
      <c r="A9" s="4" t="s">
        <v>16</v>
      </c>
      <c r="B9" s="4" t="s">
        <v>17</v>
      </c>
      <c r="C9" s="5">
        <v>40515</v>
      </c>
      <c r="D9" s="5">
        <v>38887</v>
      </c>
      <c r="E9" s="5">
        <v>79402</v>
      </c>
      <c r="F9" s="5">
        <f t="shared" si="0"/>
        <v>-51023.777777777781</v>
      </c>
      <c r="G9" s="6">
        <f t="shared" si="1"/>
        <v>6.7643410641386501E-2</v>
      </c>
      <c r="H9" s="4" t="s">
        <v>30</v>
      </c>
    </row>
    <row r="10" spans="1:8" ht="29" x14ac:dyDescent="0.35">
      <c r="A10" s="4" t="s">
        <v>8</v>
      </c>
      <c r="B10" s="4" t="s">
        <v>9</v>
      </c>
      <c r="C10" s="5">
        <v>38045</v>
      </c>
      <c r="D10" s="5">
        <v>35369</v>
      </c>
      <c r="E10" s="5">
        <v>73414</v>
      </c>
      <c r="F10" s="5">
        <f t="shared" si="0"/>
        <v>-57011.777777777781</v>
      </c>
      <c r="G10" s="6">
        <f t="shared" si="1"/>
        <v>6.254216957792938E-2</v>
      </c>
      <c r="H10" s="4" t="s">
        <v>30</v>
      </c>
    </row>
  </sheetData>
  <sortState xmlns:xlrd2="http://schemas.microsoft.com/office/spreadsheetml/2017/richdata2" ref="A2:F11">
    <sortCondition descending="1" ref="F1:F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ben_admpop_2024(ben_admpop_adm2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CSP ELSHADDAI</cp:lastModifiedBy>
  <dcterms:created xsi:type="dcterms:W3CDTF">2026-10-20T07:36:39Z</dcterms:created>
  <dcterms:modified xsi:type="dcterms:W3CDTF">2026-10-20T09:10:50Z</dcterms:modified>
</cp:coreProperties>
</file>